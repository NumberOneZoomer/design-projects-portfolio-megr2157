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udentuncc-my.sharepoint.com/personal/ebono1_charlotte_edu/Documents/"/>
    </mc:Choice>
  </mc:AlternateContent>
  <xr:revisionPtr revIDLastSave="106" documentId="8_{DCE39655-FA09-4414-AF76-AB9D41D212FE}" xr6:coauthVersionLast="47" xr6:coauthVersionMax="47" xr10:uidLastSave="{DC2FD635-C8C2-4160-BAD1-47BF03D7F9D6}"/>
  <bookViews>
    <workbookView xWindow="-110" yWindow="-110" windowWidth="38620" windowHeight="21100" xr2:uid="{BA937FCB-9FB1-4135-817D-6FBD348878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R10" i="1" l="1"/>
  <c r="R9" i="1"/>
  <c r="R8" i="1"/>
  <c r="K10" i="1"/>
  <c r="K9" i="1"/>
  <c r="K8" i="1"/>
  <c r="E10" i="1"/>
  <c r="E9" i="1"/>
  <c r="E8" i="1"/>
  <c r="S4" i="1"/>
  <c r="S3" i="1"/>
  <c r="S2" i="1"/>
  <c r="R4" i="1"/>
  <c r="R3" i="1"/>
  <c r="R2" i="1"/>
  <c r="L4" i="1"/>
  <c r="L3" i="1"/>
  <c r="L2" i="1"/>
  <c r="K4" i="1"/>
  <c r="K3" i="1"/>
  <c r="K2" i="1"/>
  <c r="E2" i="1"/>
  <c r="F2" i="1"/>
  <c r="F4" i="1"/>
  <c r="F3" i="1"/>
  <c r="E3" i="1"/>
  <c r="E4" i="1"/>
</calcChain>
</file>

<file path=xl/sharedStrings.xml><?xml version="1.0" encoding="utf-8"?>
<sst xmlns="http://schemas.openxmlformats.org/spreadsheetml/2006/main" count="21" uniqueCount="8">
  <si>
    <t>Run 1</t>
  </si>
  <si>
    <t>Run 2</t>
  </si>
  <si>
    <t>Run 3</t>
  </si>
  <si>
    <t>Stress</t>
  </si>
  <si>
    <t>Deflection</t>
  </si>
  <si>
    <t>F.S</t>
  </si>
  <si>
    <t>Convergence (Run 1 - 2)</t>
  </si>
  <si>
    <t>Convergence (Run 2 - 3)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</si>
</sst>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0BD9D-F312-42E0-BF22-BA9F0BD72277}">
  <dimension ref="A1:S10"/>
  <sheetViews>
    <sheetView tabSelected="1" zoomScale="145" zoomScaleNormal="145" workbookViewId="0">
      <selection activeCell="R8" sqref="R8"/>
    </sheetView>
  </sheetViews>
  <sheetFormatPr defaultRowHeight="14.5" x14ac:dyDescent="0.35"/>
  <cols>
    <col min="1" max="1" width="10.90625" customWidth="1"/>
    <col min="5" max="5" width="20.36328125" customWidth="1"/>
    <col min="6" max="6" width="20.7265625" customWidth="1"/>
    <col min="11" max="11" width="22.7265625" customWidth="1"/>
    <col min="12" max="12" width="21.08984375" customWidth="1"/>
    <col min="13" max="13" width="4.7265625" customWidth="1"/>
    <col min="14" max="14" width="4.453125" customWidth="1"/>
    <col min="18" max="18" width="21.81640625" customWidth="1"/>
    <col min="19" max="19" width="20.7265625" customWidth="1"/>
  </cols>
  <sheetData>
    <row r="1" spans="1:19" x14ac:dyDescent="0.35">
      <c r="B1" t="s">
        <v>0</v>
      </c>
      <c r="C1" t="s">
        <v>1</v>
      </c>
      <c r="D1" t="s">
        <v>2</v>
      </c>
      <c r="E1" t="s">
        <v>6</v>
      </c>
      <c r="F1" t="s">
        <v>7</v>
      </c>
      <c r="H1" t="s">
        <v>0</v>
      </c>
      <c r="I1" t="s">
        <v>1</v>
      </c>
      <c r="J1" t="s">
        <v>2</v>
      </c>
      <c r="K1" t="s">
        <v>6</v>
      </c>
      <c r="L1" t="s">
        <v>7</v>
      </c>
      <c r="O1" t="s">
        <v>0</v>
      </c>
      <c r="P1" t="s">
        <v>1</v>
      </c>
      <c r="Q1" t="s">
        <v>2</v>
      </c>
      <c r="R1" t="s">
        <v>6</v>
      </c>
      <c r="S1" t="s">
        <v>7</v>
      </c>
    </row>
    <row r="2" spans="1:19" x14ac:dyDescent="0.35">
      <c r="A2" t="s">
        <v>3</v>
      </c>
      <c r="B2" s="1">
        <v>7280000000</v>
      </c>
      <c r="C2" s="1">
        <v>9571000000</v>
      </c>
      <c r="D2" s="1">
        <v>10820000000</v>
      </c>
      <c r="E2" s="2">
        <f>(2*(ABS(C2 - B2))/(B2 + C2))*100</f>
        <v>27.19126461337606</v>
      </c>
      <c r="F2">
        <f t="shared" ref="E2:F4" si="0">(2*(ABS(D2 - C2))/(C2 + D2))*100</f>
        <v>12.25050267274778</v>
      </c>
      <c r="H2" s="1">
        <v>752800000</v>
      </c>
      <c r="I2" s="1">
        <v>822000000</v>
      </c>
      <c r="J2" s="1">
        <v>965700000</v>
      </c>
      <c r="K2" s="2">
        <f>(2*(ABS(H2 - I2))/(H2 + I2))*100</f>
        <v>8.7884175768351529</v>
      </c>
      <c r="L2" s="2">
        <f>(2*(ABS(I2 - J2))/(I2 + J2))*100</f>
        <v>16.076522906527941</v>
      </c>
      <c r="O2" s="1">
        <v>388100000</v>
      </c>
      <c r="P2" s="1">
        <v>439700000</v>
      </c>
      <c r="Q2" s="1">
        <v>528600000</v>
      </c>
      <c r="R2">
        <f>(2*(ABS(O2 - P2))/(O2 + P2))*100</f>
        <v>12.46677941531771</v>
      </c>
      <c r="S2">
        <f>(2*(ABS(P2 - Q2))/(P2 + Q2))*100</f>
        <v>18.362077868429203</v>
      </c>
    </row>
    <row r="3" spans="1:19" x14ac:dyDescent="0.35">
      <c r="A3" t="s">
        <v>4</v>
      </c>
      <c r="B3" s="1">
        <v>14.92</v>
      </c>
      <c r="C3" s="1">
        <v>17.54</v>
      </c>
      <c r="D3" s="1">
        <v>18.28</v>
      </c>
      <c r="E3">
        <f t="shared" si="0"/>
        <v>16.142945163277876</v>
      </c>
      <c r="F3">
        <f t="shared" si="0"/>
        <v>4.131769960915701</v>
      </c>
      <c r="H3" s="1">
        <v>0.74860000000000004</v>
      </c>
      <c r="I3" s="1">
        <v>0.78080000000000005</v>
      </c>
      <c r="J3" s="1">
        <v>0.79369999999999996</v>
      </c>
      <c r="K3" s="2">
        <f>(2*(ABS(H3 - I3))/(H3 + I3))*100</f>
        <v>4.2108016215509361</v>
      </c>
      <c r="L3" s="2">
        <f>(2*(ABS(I3 - J3))/(I3 + J3))*100</f>
        <v>1.638615433470932</v>
      </c>
      <c r="O3" s="1">
        <v>0.35759999999999997</v>
      </c>
      <c r="P3" s="1">
        <v>0.39979999999999999</v>
      </c>
      <c r="Q3" s="1">
        <v>0.371</v>
      </c>
      <c r="R3">
        <f>(2*(ABS(O3 - P3))/(O3 + P3))*100</f>
        <v>11.143385265381573</v>
      </c>
      <c r="S3">
        <f>(2*(ABS(P3 - Q3))/(P3 + Q3))*100</f>
        <v>7.4727555786196147</v>
      </c>
    </row>
    <row r="4" spans="1:19" x14ac:dyDescent="0.35">
      <c r="A4" t="s">
        <v>5</v>
      </c>
      <c r="B4" s="1">
        <v>1.9230000000000001E-2</v>
      </c>
      <c r="C4" s="1">
        <v>1.4630000000000001E-2</v>
      </c>
      <c r="D4" s="1">
        <v>1.294E-2</v>
      </c>
      <c r="E4">
        <f t="shared" si="0"/>
        <v>27.170702894270526</v>
      </c>
      <c r="F4">
        <f t="shared" si="0"/>
        <v>12.25970257526297</v>
      </c>
      <c r="H4" s="1">
        <v>0.186</v>
      </c>
      <c r="I4" s="1">
        <v>0.16980000000000001</v>
      </c>
      <c r="J4" s="1">
        <v>0.14499999999999999</v>
      </c>
      <c r="K4" s="2">
        <f>(2*(ABS(H4 - I4))/(H4 + I4))*100</f>
        <v>9.1062394603709897</v>
      </c>
      <c r="L4" s="2">
        <f>(2*(ABS(I4 - J4))/(I4 + J4))*100</f>
        <v>15.756035578144868</v>
      </c>
      <c r="O4" s="1">
        <v>0.36080000000000001</v>
      </c>
      <c r="P4" s="1">
        <v>0.31840000000000002</v>
      </c>
      <c r="Q4" s="1">
        <v>0.26479999999999998</v>
      </c>
      <c r="R4">
        <f>(2*(ABS(O4 - P4))/(O4 + P4))*100</f>
        <v>12.485276796230856</v>
      </c>
      <c r="S4">
        <f>(2*(ABS(P4 - Q4))/(P4 + Q4))*100</f>
        <v>18.381344307270247</v>
      </c>
    </row>
    <row r="8" spans="1:19" x14ac:dyDescent="0.35">
      <c r="A8" t="s">
        <v>3</v>
      </c>
      <c r="B8" s="1">
        <v>787100000</v>
      </c>
      <c r="C8" s="1">
        <v>793800000</v>
      </c>
      <c r="E8">
        <f>(2*(ABS(C8 - B8))/(B8 + C8))*100</f>
        <v>0.84761844518944895</v>
      </c>
      <c r="H8" s="1">
        <v>48590000</v>
      </c>
      <c r="I8" s="1">
        <v>49370000</v>
      </c>
      <c r="K8">
        <f>(2*(ABS(H8 - I8))/(H8 + I8))*100</f>
        <v>1.5924867292772562</v>
      </c>
      <c r="O8" s="1">
        <v>50310000</v>
      </c>
      <c r="P8" s="1">
        <v>50820000</v>
      </c>
      <c r="R8">
        <f>(2*(ABS(O8 - P8))/(O8 + P8))*100</f>
        <v>1.0086027884900624</v>
      </c>
    </row>
    <row r="9" spans="1:19" x14ac:dyDescent="0.35">
      <c r="A9" t="s">
        <v>4</v>
      </c>
      <c r="B9" s="1">
        <v>0.2084</v>
      </c>
      <c r="C9" s="1">
        <v>0.20849999999999999</v>
      </c>
      <c r="E9">
        <f>(2*(ABS(C9 - B9))/(B9 + C9))*100</f>
        <v>4.7973135044369869E-2</v>
      </c>
      <c r="H9" s="1">
        <v>1.3010000000000001E-2</v>
      </c>
      <c r="I9" s="1">
        <v>1.302E-2</v>
      </c>
      <c r="K9">
        <f>(2*(ABS(H9 - I9))/(H9 + I9))*100</f>
        <v>7.6834421820972665E-2</v>
      </c>
      <c r="O9" s="1">
        <v>1.2959999999999999E-2</v>
      </c>
      <c r="P9" s="1">
        <v>1.2970000000000001E-2</v>
      </c>
      <c r="R9">
        <f>(2*(ABS(O9 - P9))/(O9 + P9))*100</f>
        <v>7.7130736598544747E-2</v>
      </c>
    </row>
    <row r="10" spans="1:19" x14ac:dyDescent="0.35">
      <c r="A10" t="s">
        <v>5</v>
      </c>
      <c r="B10" s="1">
        <v>0.17699999999999999</v>
      </c>
      <c r="C10" s="1">
        <v>0.1764</v>
      </c>
      <c r="E10">
        <f>(2*(ABS(C10 - B10))/(B10 + C10))*100</f>
        <v>0.3395585738539838</v>
      </c>
      <c r="H10" s="1">
        <v>2.8809999999999998</v>
      </c>
      <c r="I10" s="1">
        <v>2.8359999999999999</v>
      </c>
      <c r="K10">
        <f>(2*(ABS(H10 - I10))/(H10 + I10))*100</f>
        <v>1.5742522301906572</v>
      </c>
      <c r="O10" s="1">
        <v>2.7829999999999999</v>
      </c>
      <c r="P10" s="1">
        <v>2.7549999999999999</v>
      </c>
      <c r="R10">
        <f>(2*(ABS(O10 - P10))/(O10 + P10))*100</f>
        <v>1.0111953773925613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Ezra Bono</dc:creator>
  <cp:lastModifiedBy>Ezra Bono</cp:lastModifiedBy>
  <dcterms:created xsi:type="dcterms:W3CDTF">2026-10-20T22:35:45Z</dcterms:created>
  <dcterms:modified xsi:type="dcterms:W3CDTF">2026-10-22T04:01:08Z</dcterms:modified>
</cp:coreProperties>
</file>